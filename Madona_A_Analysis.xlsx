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on\Downloads\"/>
    </mc:Choice>
  </mc:AlternateContent>
  <xr:revisionPtr revIDLastSave="0" documentId="8_{A3EFD574-E4D0-4B7E-8D1C-FD7A359124E4}" xr6:coauthVersionLast="47" xr6:coauthVersionMax="47" xr10:uidLastSave="{00000000-0000-0000-0000-000000000000}"/>
  <bookViews>
    <workbookView xWindow="0" yWindow="1116" windowWidth="23040" windowHeight="11124" activeTab="1" xr2:uid="{805A4D93-7ACE-4C04-98C5-48489EDDA245}"/>
  </bookViews>
  <sheets>
    <sheet name="Docs Checklist" sheetId="1" r:id="rId1"/>
    <sheet name="Revenue Cal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2" l="1"/>
  <c r="E8" i="2"/>
  <c r="E7" i="2"/>
</calcChain>
</file>

<file path=xl/sharedStrings.xml><?xml version="1.0" encoding="utf-8"?>
<sst xmlns="http://schemas.openxmlformats.org/spreadsheetml/2006/main" count="73" uniqueCount="66">
  <si>
    <t>Claim</t>
  </si>
  <si>
    <t>Checklist</t>
  </si>
  <si>
    <t>S.No</t>
  </si>
  <si>
    <t>List every unique status value seen</t>
  </si>
  <si>
    <t>Check the value</t>
  </si>
  <si>
    <t>Check the type of each</t>
  </si>
  <si>
    <t>Check if any value looks like a decimal or too small</t>
  </si>
  <si>
    <t>Do math on every order</t>
  </si>
  <si>
    <t>Count items in each response</t>
  </si>
  <si>
    <t>Check both fields together</t>
  </si>
  <si>
    <t>List is sorted most recent first</t>
  </si>
  <si>
    <t>Does the data match the claim?</t>
  </si>
  <si>
    <t xml:space="preserve">Status </t>
  </si>
  <si>
    <t>Include in Revenue (Y/N)</t>
  </si>
  <si>
    <t>ord_1001</t>
  </si>
  <si>
    <t>ord_1002</t>
  </si>
  <si>
    <t>ord_1003</t>
  </si>
  <si>
    <t>ord_1004</t>
  </si>
  <si>
    <t>ord_1005</t>
  </si>
  <si>
    <t>ord_1006</t>
  </si>
  <si>
    <t>Shipped</t>
  </si>
  <si>
    <t>Delivered</t>
  </si>
  <si>
    <t>Refunded</t>
  </si>
  <si>
    <t>Yes</t>
  </si>
  <si>
    <t>No</t>
  </si>
  <si>
    <r>
      <rPr>
        <b/>
        <sz val="11"/>
        <color theme="1"/>
        <rFont val="Times New Roman"/>
        <family val="1"/>
      </rPr>
      <t>id</t>
    </r>
    <r>
      <rPr>
        <sz val="11"/>
        <color theme="1"/>
        <rFont val="Times New Roman"/>
        <family val="1"/>
      </rPr>
      <t xml:space="preserve"> is a string prefixed</t>
    </r>
    <r>
      <rPr>
        <b/>
        <sz val="11"/>
        <color theme="1"/>
        <rFont val="Times New Roman"/>
        <family val="1"/>
      </rPr>
      <t xml:space="preserve"> 'ord_'</t>
    </r>
  </si>
  <si>
    <r>
      <t>Look</t>
    </r>
    <r>
      <rPr>
        <b/>
        <sz val="11"/>
        <color theme="1"/>
        <rFont val="Times New Roman"/>
        <family val="1"/>
      </rPr>
      <t xml:space="preserve"> id</t>
    </r>
    <r>
      <rPr>
        <sz val="11"/>
        <color theme="1"/>
        <rFont val="Times New Roman"/>
        <family val="1"/>
      </rPr>
      <t xml:space="preserve"> on every order</t>
    </r>
  </si>
  <si>
    <r>
      <t xml:space="preserve">Check the format of every </t>
    </r>
    <r>
      <rPr>
        <b/>
        <sz val="11"/>
        <color theme="1"/>
        <rFont val="Times New Roman"/>
        <family val="1"/>
      </rPr>
      <t>created_at</t>
    </r>
  </si>
  <si>
    <r>
      <rPr>
        <b/>
        <sz val="11"/>
        <color theme="1"/>
        <rFont val="Times New Roman"/>
        <family val="1"/>
      </rPr>
      <t>status</t>
    </r>
    <r>
      <rPr>
        <sz val="11"/>
        <color theme="1"/>
        <rFont val="Times New Roman"/>
        <family val="1"/>
      </rPr>
      <t xml:space="preserve"> is one of: Pending, shipped,delivered, cancelled</t>
    </r>
  </si>
  <si>
    <r>
      <rPr>
        <b/>
        <sz val="11"/>
        <color theme="1"/>
        <rFont val="Times New Roman"/>
        <family val="1"/>
      </rPr>
      <t>currency</t>
    </r>
    <r>
      <rPr>
        <sz val="11"/>
        <color theme="1"/>
        <rFont val="Times New Roman"/>
        <family val="1"/>
      </rPr>
      <t xml:space="preserve"> is a 3 letter ISO code</t>
    </r>
  </si>
  <si>
    <r>
      <rPr>
        <b/>
        <sz val="11"/>
        <color theme="1"/>
        <rFont val="Times New Roman"/>
        <family val="1"/>
      </rPr>
      <t xml:space="preserve">subtotal, tax, shipping, total </t>
    </r>
    <r>
      <rPr>
        <sz val="11"/>
        <color theme="1"/>
        <rFont val="Times New Roman"/>
        <family val="1"/>
      </rPr>
      <t>are integers</t>
    </r>
  </si>
  <si>
    <r>
      <t xml:space="preserve">Amounts are in smallest </t>
    </r>
    <r>
      <rPr>
        <b/>
        <sz val="11"/>
        <color theme="1"/>
        <rFont val="Times New Roman"/>
        <family val="1"/>
      </rPr>
      <t>unit (cents)</t>
    </r>
    <r>
      <rPr>
        <sz val="11"/>
        <color theme="1"/>
        <rFont val="Times New Roman"/>
        <family val="1"/>
      </rPr>
      <t>, not dollars</t>
    </r>
  </si>
  <si>
    <r>
      <rPr>
        <b/>
        <sz val="11"/>
        <color theme="1"/>
        <rFont val="Times New Roman"/>
        <family val="1"/>
      </rPr>
      <t>total = subtotal + tax + shipping</t>
    </r>
    <r>
      <rPr>
        <sz val="11"/>
        <color theme="1"/>
        <rFont val="Times New Roman"/>
        <family val="1"/>
      </rPr>
      <t>, always</t>
    </r>
  </si>
  <si>
    <r>
      <t xml:space="preserve">customer </t>
    </r>
    <r>
      <rPr>
        <b/>
        <sz val="11"/>
        <color theme="1"/>
        <rFont val="Times New Roman"/>
        <family val="1"/>
      </rPr>
      <t>.email</t>
    </r>
    <r>
      <rPr>
        <sz val="11"/>
        <color theme="1"/>
        <rFont val="Times New Roman"/>
        <family val="1"/>
      </rPr>
      <t xml:space="preserve"> is always present</t>
    </r>
  </si>
  <si>
    <r>
      <t xml:space="preserve">Check for </t>
    </r>
    <r>
      <rPr>
        <b/>
        <sz val="11"/>
        <color theme="1"/>
        <rFont val="Times New Roman"/>
        <family val="1"/>
      </rPr>
      <t>null</t>
    </r>
    <r>
      <rPr>
        <sz val="11"/>
        <color theme="1"/>
        <rFont val="Times New Roman"/>
        <family val="1"/>
      </rPr>
      <t xml:space="preserve"> or missing</t>
    </r>
  </si>
  <si>
    <r>
      <t xml:space="preserve">List returns at most </t>
    </r>
    <r>
      <rPr>
        <b/>
        <sz val="11"/>
        <color theme="1"/>
        <rFont val="Times New Roman"/>
        <family val="1"/>
      </rPr>
      <t>25 per page</t>
    </r>
  </si>
  <si>
    <r>
      <rPr>
        <b/>
        <sz val="11"/>
        <color theme="1"/>
        <rFont val="Times New Roman"/>
        <family val="1"/>
      </rPr>
      <t>has_more</t>
    </r>
    <r>
      <rPr>
        <sz val="11"/>
        <color theme="1"/>
        <rFont val="Times New Roman"/>
        <family val="1"/>
      </rPr>
      <t xml:space="preserve"> and </t>
    </r>
    <r>
      <rPr>
        <b/>
        <sz val="11"/>
        <color theme="1"/>
        <rFont val="Times New Roman"/>
        <family val="1"/>
      </rPr>
      <t>next_cursor</t>
    </r>
    <r>
      <rPr>
        <sz val="11"/>
        <color theme="1"/>
        <rFont val="Times New Roman"/>
        <family val="1"/>
      </rPr>
      <t xml:space="preserve"> agree (cursor present =&gt; has_more:true)</t>
    </r>
  </si>
  <si>
    <r>
      <t xml:space="preserve">Compare </t>
    </r>
    <r>
      <rPr>
        <b/>
        <sz val="11"/>
        <color theme="1"/>
        <rFont val="Times New Roman"/>
        <family val="1"/>
      </rPr>
      <t>created_at</t>
    </r>
    <r>
      <rPr>
        <sz val="11"/>
        <color theme="1"/>
        <rFont val="Times New Roman"/>
        <family val="1"/>
      </rPr>
      <t xml:space="preserve"> order across the whole list</t>
    </r>
  </si>
  <si>
    <r>
      <t xml:space="preserve">Unknown order ID return </t>
    </r>
    <r>
      <rPr>
        <b/>
        <sz val="11"/>
        <color theme="1"/>
        <rFont val="Times New Roman"/>
        <family val="1"/>
      </rPr>
      <t>404</t>
    </r>
  </si>
  <si>
    <r>
      <t xml:space="preserve">Check the status code note in </t>
    </r>
    <r>
      <rPr>
        <b/>
        <sz val="11"/>
        <color theme="1"/>
        <rFont val="Times New Roman"/>
        <family val="1"/>
      </rPr>
      <t>README.md</t>
    </r>
  </si>
  <si>
    <r>
      <rPr>
        <b/>
        <sz val="11"/>
        <color theme="1"/>
        <rFont val="Times New Roman"/>
        <family val="1"/>
      </rPr>
      <t>created_at</t>
    </r>
    <r>
      <rPr>
        <sz val="11"/>
        <color theme="1"/>
        <rFont val="Times New Roman"/>
        <family val="1"/>
      </rPr>
      <t xml:space="preserve"> is ISO 8601 UTC (YYYY-MM-DDTHH:MM:SSZ)</t>
    </r>
  </si>
  <si>
    <t>The status field shows refunded, which is not one of the four values listed in API_DOCS.md (pending, shipped, delivered, cancelled). Other orders use valid statuses: ord_1001 shipped, ord_1002 delivered, ord_1004 shipped, ord_1005 delivered, ord_1006 shipped.</t>
  </si>
  <si>
    <t>ord_1006 has subtotal 44.0, tax 3.63, shipping 5.99, total 53.62 — all decimals. Every other order uses whole-number integers.</t>
  </si>
  <si>
    <t>The same ord_1006 values (44.0, 3.63, 5.99, 53.62) are decimals in dollars, not whole-number cents as the docs specify.</t>
  </si>
  <si>
    <t>ord_1004: subtotal 6200 + tax 511 + shipping 599 = 7310 (expected), but the recorded total is 6810 - a $5.00 (500-cent) discrepancy</t>
  </si>
  <si>
    <t>ord_1005 (customer cus_505) has email: null, though the docs state email is always present.</t>
  </si>
  <si>
    <t>Page 1 has 4 orders, page 2 has 2 — both under the documented maximum of 25, so this claim holds, though neither page comes close to testing the actual limit</t>
  </si>
  <si>
    <t>Page 1 shows has_more: false while next_cursor is 'cur_8f2a19bd' (non-null) — these contradict each other. Page 2 correctly shows has_more: false with next_cursor: null.</t>
  </si>
  <si>
    <t>Most recent first means descending order (newest to oldest), but the data runs ascending — from 2026-03-14T09:21:00Z to 2026-03-16T10:41:00Z</t>
  </si>
  <si>
    <t>200 status code noted in README.md for the order ID: ord_9999. It responses {order:null;}</t>
  </si>
  <si>
    <t>Reason</t>
  </si>
  <si>
    <t>Order ID</t>
  </si>
  <si>
    <t>Amount(Cents, Normalised)</t>
  </si>
  <si>
    <t>Amount(Raw)</t>
  </si>
  <si>
    <t>Reasoning</t>
  </si>
  <si>
    <t>Refunded — the customer received their money back ($102.33), so it isn't revenue for the company.</t>
  </si>
  <si>
    <t>Used the total field ($68.10), the amount actually charged to the customer, rather than the sum of parts ($73.10).</t>
  </si>
  <si>
    <t>ord_1006 was recorded in dollars (53.62) instead of cents. Converted: 53.62 × 100 = 5362, matching the cents format used elsewhere.</t>
  </si>
  <si>
    <t>Shipped, payment completed, no refund</t>
  </si>
  <si>
    <t>Delivered, payment completed, no refund</t>
  </si>
  <si>
    <t>Delivered — missing email doesn't affect revenue, only contact info.</t>
  </si>
  <si>
    <t>Total Revenue(in dollars)</t>
  </si>
  <si>
    <t>Total Revenue (in cents)</t>
  </si>
  <si>
    <t>Every order's id follows the ord_ prefix (ord_1001–ord_1006).</t>
  </si>
  <si>
    <t>All six created_at values follow YYYY-MM-DDTHH:MM:SSZ, e.g. 2026-03-14T09:21:00Z.</t>
  </si>
  <si>
    <t>All six orders use USD, a valid 3-letter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</si>
</sst>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4" fillId="0" borderId="0" xfId="0" applyFont="1" applyFill="1"/>
    <xf numFmtId="0" fontId="0" fillId="0" borderId="0" xfId="0" applyFill="1"/>
    <xf numFmtId="0" fontId="5" fillId="0" borderId="0" xfId="0" applyFont="1" applyFill="1"/>
    <xf numFmtId="0" fontId="4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44" fontId="1" fillId="0" borderId="1" xfId="1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D080D-4260-428C-801B-2AD2F84454B9}">
  <dimension ref="A1:E15"/>
  <sheetViews>
    <sheetView topLeftCell="A9" workbookViewId="0">
      <selection activeCell="E6" sqref="E6"/>
    </sheetView>
  </sheetViews>
  <sheetFormatPr defaultRowHeight="14.4" x14ac:dyDescent="0.3"/>
  <cols>
    <col min="2" max="2" width="57" style="5" bestFit="1" customWidth="1"/>
    <col min="3" max="3" width="56.33203125" customWidth="1"/>
    <col min="4" max="4" width="36.88671875" customWidth="1"/>
    <col min="5" max="5" width="44.77734375" customWidth="1"/>
  </cols>
  <sheetData>
    <row r="1" spans="1:5" s="6" customFormat="1" ht="17.399999999999999" x14ac:dyDescent="0.3">
      <c r="A1" s="13" t="s">
        <v>2</v>
      </c>
      <c r="B1" s="13" t="s">
        <v>0</v>
      </c>
      <c r="C1" s="13" t="s">
        <v>1</v>
      </c>
      <c r="D1" s="13" t="s">
        <v>11</v>
      </c>
      <c r="E1" s="13" t="s">
        <v>50</v>
      </c>
    </row>
    <row r="2" spans="1:5" ht="28.2" x14ac:dyDescent="0.3">
      <c r="A2" s="7">
        <v>1</v>
      </c>
      <c r="B2" s="7" t="s">
        <v>25</v>
      </c>
      <c r="C2" s="8" t="s">
        <v>26</v>
      </c>
      <c r="D2" s="7" t="b">
        <v>1</v>
      </c>
      <c r="E2" s="9" t="s">
        <v>63</v>
      </c>
    </row>
    <row r="3" spans="1:5" ht="28.2" x14ac:dyDescent="0.3">
      <c r="A3" s="7">
        <v>2</v>
      </c>
      <c r="B3" s="7" t="s">
        <v>40</v>
      </c>
      <c r="C3" s="8" t="s">
        <v>27</v>
      </c>
      <c r="D3" s="7" t="b">
        <v>1</v>
      </c>
      <c r="E3" s="9" t="s">
        <v>64</v>
      </c>
    </row>
    <row r="4" spans="1:5" ht="83.4" x14ac:dyDescent="0.3">
      <c r="A4" s="7">
        <v>3</v>
      </c>
      <c r="B4" s="7" t="s">
        <v>28</v>
      </c>
      <c r="C4" s="8" t="s">
        <v>3</v>
      </c>
      <c r="D4" s="7" t="b">
        <v>0</v>
      </c>
      <c r="E4" s="9" t="s">
        <v>41</v>
      </c>
    </row>
    <row r="5" spans="1:5" x14ac:dyDescent="0.3">
      <c r="A5" s="7">
        <v>4</v>
      </c>
      <c r="B5" s="7" t="s">
        <v>29</v>
      </c>
      <c r="C5" s="8" t="s">
        <v>4</v>
      </c>
      <c r="D5" s="7" t="b">
        <v>1</v>
      </c>
      <c r="E5" s="8" t="s">
        <v>65</v>
      </c>
    </row>
    <row r="6" spans="1:5" ht="42" x14ac:dyDescent="0.3">
      <c r="A6" s="7">
        <v>5</v>
      </c>
      <c r="B6" s="7" t="s">
        <v>30</v>
      </c>
      <c r="C6" s="8" t="s">
        <v>5</v>
      </c>
      <c r="D6" s="7" t="b">
        <v>0</v>
      </c>
      <c r="E6" s="9" t="s">
        <v>42</v>
      </c>
    </row>
    <row r="7" spans="1:5" ht="42" x14ac:dyDescent="0.3">
      <c r="A7" s="7">
        <v>6</v>
      </c>
      <c r="B7" s="7" t="s">
        <v>31</v>
      </c>
      <c r="C7" s="8" t="s">
        <v>6</v>
      </c>
      <c r="D7" s="7" t="b">
        <v>0</v>
      </c>
      <c r="E7" s="9" t="s">
        <v>43</v>
      </c>
    </row>
    <row r="8" spans="1:5" ht="42" x14ac:dyDescent="0.3">
      <c r="A8" s="7">
        <v>7</v>
      </c>
      <c r="B8" s="7" t="s">
        <v>32</v>
      </c>
      <c r="C8" s="8" t="s">
        <v>7</v>
      </c>
      <c r="D8" s="7" t="b">
        <v>0</v>
      </c>
      <c r="E8" s="9" t="s">
        <v>44</v>
      </c>
    </row>
    <row r="9" spans="1:5" ht="28.2" x14ac:dyDescent="0.3">
      <c r="A9" s="7">
        <v>8</v>
      </c>
      <c r="B9" s="7" t="s">
        <v>33</v>
      </c>
      <c r="C9" s="8" t="s">
        <v>34</v>
      </c>
      <c r="D9" s="7" t="b">
        <v>0</v>
      </c>
      <c r="E9" s="9" t="s">
        <v>45</v>
      </c>
    </row>
    <row r="10" spans="1:5" ht="55.8" x14ac:dyDescent="0.3">
      <c r="A10" s="7">
        <v>9</v>
      </c>
      <c r="B10" s="7" t="s">
        <v>35</v>
      </c>
      <c r="C10" s="8" t="s">
        <v>8</v>
      </c>
      <c r="D10" s="7" t="b">
        <v>1</v>
      </c>
      <c r="E10" s="9" t="s">
        <v>46</v>
      </c>
    </row>
    <row r="11" spans="1:5" ht="55.8" x14ac:dyDescent="0.3">
      <c r="A11" s="7">
        <v>10</v>
      </c>
      <c r="B11" s="7" t="s">
        <v>36</v>
      </c>
      <c r="C11" s="8" t="s">
        <v>9</v>
      </c>
      <c r="D11" s="7" t="b">
        <v>0</v>
      </c>
      <c r="E11" s="9" t="s">
        <v>47</v>
      </c>
    </row>
    <row r="12" spans="1:5" ht="42" x14ac:dyDescent="0.3">
      <c r="A12" s="7">
        <v>11</v>
      </c>
      <c r="B12" s="7" t="s">
        <v>10</v>
      </c>
      <c r="C12" s="8" t="s">
        <v>37</v>
      </c>
      <c r="D12" s="7" t="b">
        <v>0</v>
      </c>
      <c r="E12" s="9" t="s">
        <v>48</v>
      </c>
    </row>
    <row r="13" spans="1:5" ht="28.2" x14ac:dyDescent="0.3">
      <c r="A13" s="7">
        <v>12</v>
      </c>
      <c r="B13" s="7" t="s">
        <v>38</v>
      </c>
      <c r="C13" s="8" t="s">
        <v>39</v>
      </c>
      <c r="D13" s="7" t="b">
        <v>1</v>
      </c>
      <c r="E13" s="9" t="s">
        <v>49</v>
      </c>
    </row>
    <row r="14" spans="1:5" x14ac:dyDescent="0.3">
      <c r="A14" s="2"/>
      <c r="B14" s="4"/>
      <c r="C14" s="2"/>
      <c r="D14" s="2"/>
      <c r="E14" s="2"/>
    </row>
    <row r="15" spans="1:5" x14ac:dyDescent="0.3">
      <c r="A15" s="2"/>
      <c r="B15" s="4"/>
      <c r="C15" s="2"/>
      <c r="D15" s="2"/>
      <c r="E1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E9BB7-FEEE-4532-9DFF-2FFFB9E4A474}">
  <dimension ref="A1:F12"/>
  <sheetViews>
    <sheetView tabSelected="1" workbookViewId="0">
      <selection activeCell="C9" sqref="C9"/>
    </sheetView>
  </sheetViews>
  <sheetFormatPr defaultRowHeight="14.4" x14ac:dyDescent="0.3"/>
  <cols>
    <col min="1" max="1" width="20.109375" customWidth="1"/>
    <col min="2" max="2" width="18.21875" customWidth="1"/>
    <col min="3" max="3" width="30.6640625" customWidth="1"/>
    <col min="4" max="4" width="23" customWidth="1"/>
    <col min="5" max="5" width="32" customWidth="1"/>
    <col min="6" max="7" width="34" customWidth="1"/>
  </cols>
  <sheetData>
    <row r="1" spans="1:6" s="3" customFormat="1" ht="17.399999999999999" x14ac:dyDescent="0.3">
      <c r="A1" s="13" t="s">
        <v>51</v>
      </c>
      <c r="B1" s="13" t="s">
        <v>12</v>
      </c>
      <c r="C1" s="13" t="s">
        <v>13</v>
      </c>
      <c r="D1" s="13" t="s">
        <v>53</v>
      </c>
      <c r="E1" s="13" t="s">
        <v>52</v>
      </c>
      <c r="F1" s="13" t="s">
        <v>54</v>
      </c>
    </row>
    <row r="2" spans="1:6" x14ac:dyDescent="0.3">
      <c r="A2" s="8" t="s">
        <v>14</v>
      </c>
      <c r="B2" s="8" t="s">
        <v>20</v>
      </c>
      <c r="C2" s="8" t="s">
        <v>23</v>
      </c>
      <c r="D2" s="8">
        <v>5470</v>
      </c>
      <c r="E2" s="8">
        <v>5470</v>
      </c>
      <c r="F2" s="8" t="s">
        <v>58</v>
      </c>
    </row>
    <row r="3" spans="1:6" x14ac:dyDescent="0.3">
      <c r="A3" s="8" t="s">
        <v>15</v>
      </c>
      <c r="B3" s="8" t="s">
        <v>21</v>
      </c>
      <c r="C3" s="8" t="s">
        <v>23</v>
      </c>
      <c r="D3" s="8">
        <v>2381</v>
      </c>
      <c r="E3" s="8">
        <v>2381</v>
      </c>
      <c r="F3" s="8" t="s">
        <v>59</v>
      </c>
    </row>
    <row r="4" spans="1:6" ht="42" x14ac:dyDescent="0.3">
      <c r="A4" s="8" t="s">
        <v>16</v>
      </c>
      <c r="B4" s="8" t="s">
        <v>22</v>
      </c>
      <c r="C4" s="8" t="s">
        <v>24</v>
      </c>
      <c r="D4" s="8">
        <v>10233</v>
      </c>
      <c r="E4" s="8">
        <v>0</v>
      </c>
      <c r="F4" s="9" t="s">
        <v>55</v>
      </c>
    </row>
    <row r="5" spans="1:6" ht="55.8" x14ac:dyDescent="0.3">
      <c r="A5" s="8" t="s">
        <v>17</v>
      </c>
      <c r="B5" s="8" t="s">
        <v>20</v>
      </c>
      <c r="C5" s="8" t="s">
        <v>23</v>
      </c>
      <c r="D5" s="8">
        <v>6810</v>
      </c>
      <c r="E5" s="8">
        <v>6810</v>
      </c>
      <c r="F5" s="9" t="s">
        <v>56</v>
      </c>
    </row>
    <row r="6" spans="1:6" ht="28.2" x14ac:dyDescent="0.3">
      <c r="A6" s="8" t="s">
        <v>18</v>
      </c>
      <c r="B6" s="8" t="s">
        <v>21</v>
      </c>
      <c r="C6" s="8" t="s">
        <v>23</v>
      </c>
      <c r="D6" s="8">
        <v>2547</v>
      </c>
      <c r="E6" s="8">
        <v>2547</v>
      </c>
      <c r="F6" s="9" t="s">
        <v>60</v>
      </c>
    </row>
    <row r="7" spans="1:6" ht="55.8" x14ac:dyDescent="0.3">
      <c r="A7" s="8" t="s">
        <v>19</v>
      </c>
      <c r="B7" s="8" t="s">
        <v>20</v>
      </c>
      <c r="C7" s="8" t="s">
        <v>23</v>
      </c>
      <c r="D7" s="8">
        <v>53.62</v>
      </c>
      <c r="E7" s="8">
        <f>(D7*100)</f>
        <v>5362</v>
      </c>
      <c r="F7" s="9" t="s">
        <v>57</v>
      </c>
    </row>
    <row r="8" spans="1:6" x14ac:dyDescent="0.3">
      <c r="A8" s="10"/>
      <c r="B8" s="10"/>
      <c r="C8" s="10"/>
      <c r="D8" s="11" t="s">
        <v>62</v>
      </c>
      <c r="E8" s="11">
        <f>SUMIF(C2:C7,"Yes",E2:E7)</f>
        <v>22570</v>
      </c>
      <c r="F8" s="10"/>
    </row>
    <row r="9" spans="1:6" x14ac:dyDescent="0.3">
      <c r="A9" s="10"/>
      <c r="B9" s="10"/>
      <c r="C9" s="10"/>
      <c r="D9" s="11" t="s">
        <v>61</v>
      </c>
      <c r="E9" s="12">
        <f>(E8/100)</f>
        <v>225.7</v>
      </c>
      <c r="F9" s="10"/>
    </row>
    <row r="12" spans="1:6" x14ac:dyDescent="0.3">
      <c r="A12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Docs Checklist</vt:lpstr>
      <vt:lpstr>Revenue 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Madona A</dc:creator>
  <cp:lastModifiedBy>Madona A</cp:lastModifiedBy>
  <dcterms:created xsi:type="dcterms:W3CDTF">2026-09-22T14:33:02Z</dcterms:created>
  <dcterms:modified xsi:type="dcterms:W3CDTF">2026-09-23T04:44:02Z</dcterms:modified>
</cp:coreProperties>
</file>